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_UINSA\Semester_3\AI\Praktikum 2 - Clustering (K-Means)\Perhitungan Manual\"/>
    </mc:Choice>
  </mc:AlternateContent>
  <bookViews>
    <workbookView xWindow="0" yWindow="0" windowWidth="16380" windowHeight="8190" tabRatio="500"/>
  </bookViews>
  <sheets>
    <sheet name="Sheet1" sheetId="1" r:id="rId1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4" i="1" l="1"/>
  <c r="F34" i="1"/>
  <c r="E34" i="1"/>
  <c r="G33" i="1"/>
  <c r="F33" i="1"/>
  <c r="E33" i="1"/>
  <c r="G32" i="1"/>
  <c r="F32" i="1"/>
  <c r="E32" i="1"/>
  <c r="G31" i="1"/>
  <c r="F31" i="1"/>
  <c r="E31" i="1"/>
  <c r="G30" i="1"/>
  <c r="F30" i="1"/>
  <c r="E30" i="1"/>
  <c r="G29" i="1"/>
  <c r="F29" i="1"/>
  <c r="E29" i="1"/>
  <c r="G28" i="1"/>
  <c r="F28" i="1"/>
  <c r="E28" i="1"/>
  <c r="G27" i="1"/>
  <c r="F27" i="1"/>
  <c r="E27" i="1"/>
  <c r="G26" i="1"/>
  <c r="F26" i="1"/>
  <c r="E26" i="1"/>
  <c r="G25" i="1"/>
  <c r="F25" i="1"/>
  <c r="E25" i="1"/>
  <c r="K20" i="1"/>
  <c r="K19" i="1"/>
  <c r="K18" i="1"/>
  <c r="N16" i="1"/>
  <c r="K16" i="1"/>
  <c r="N15" i="1"/>
  <c r="K15" i="1"/>
  <c r="N14" i="1"/>
  <c r="K14" i="1"/>
  <c r="G13" i="1"/>
  <c r="F13" i="1"/>
  <c r="E13" i="1"/>
  <c r="G12" i="1"/>
  <c r="F12" i="1"/>
  <c r="E12" i="1"/>
  <c r="G11" i="1"/>
  <c r="F11" i="1"/>
  <c r="E11" i="1"/>
  <c r="G10" i="1"/>
  <c r="F10" i="1"/>
  <c r="E10" i="1"/>
  <c r="G9" i="1"/>
  <c r="F9" i="1"/>
  <c r="E9" i="1"/>
  <c r="G8" i="1"/>
  <c r="F8" i="1"/>
  <c r="E8" i="1"/>
  <c r="G7" i="1"/>
  <c r="F7" i="1"/>
  <c r="E7" i="1"/>
  <c r="G6" i="1"/>
  <c r="F6" i="1"/>
  <c r="E6" i="1"/>
  <c r="G5" i="1"/>
  <c r="F5" i="1"/>
  <c r="E5" i="1"/>
  <c r="G4" i="1"/>
  <c r="F4" i="1"/>
  <c r="E4" i="1"/>
</calcChain>
</file>

<file path=xl/sharedStrings.xml><?xml version="1.0" encoding="utf-8"?>
<sst xmlns="http://schemas.openxmlformats.org/spreadsheetml/2006/main" count="90" uniqueCount="41">
  <si>
    <t>ITERASI 1</t>
  </si>
  <si>
    <t>Langkah 2: Hitung Jarak Euclidean (Iterasi 1)</t>
  </si>
  <si>
    <t>ID</t>
  </si>
  <si>
    <t>Nilai Ujian (X)</t>
  </si>
  <si>
    <t>Jam Belajar (Y)</t>
  </si>
  <si>
    <t>Kehadiran (Z)</t>
  </si>
  <si>
    <t>Dist_C1</t>
  </si>
  <si>
    <t>Dist_C2</t>
  </si>
  <si>
    <t>Dist_C3</t>
  </si>
  <si>
    <t>Cluster</t>
  </si>
  <si>
    <t>P1</t>
  </si>
  <si>
    <t>C1</t>
  </si>
  <si>
    <t>P2</t>
  </si>
  <si>
    <t>P3</t>
  </si>
  <si>
    <t>P4</t>
  </si>
  <si>
    <t>C2</t>
  </si>
  <si>
    <t>Langkah 3. Penentuan Klaster</t>
  </si>
  <si>
    <t>P5</t>
  </si>
  <si>
    <t>Cluster 1 :</t>
  </si>
  <si>
    <t>P1, P2, P3, P9</t>
  </si>
  <si>
    <t>P6</t>
  </si>
  <si>
    <t>Cluster 2 :</t>
  </si>
  <si>
    <t>P4, P5, P6, P10</t>
  </si>
  <si>
    <t>P7</t>
  </si>
  <si>
    <t>C3</t>
  </si>
  <si>
    <t>Cluster 3 :</t>
  </si>
  <si>
    <t>P7, P8</t>
  </si>
  <si>
    <t>P8</t>
  </si>
  <si>
    <t>P9</t>
  </si>
  <si>
    <t>Langkah 4: Hitung Centroid Baru dari Setiap Cluster (Iterasi 2)</t>
  </si>
  <si>
    <t>P10</t>
  </si>
  <si>
    <t>P1 , P2, P3, P9</t>
  </si>
  <si>
    <t>Langkah 1: Tentukan Centroid Awal (K=3)
Pilih 3 data secara acak sebagai pusat klaster awal. Misal:
C1 (Klaster 1): P1 (60, 2, 70)
C2 (Klaster 2): P4 (85, 7, 40)
C3 (Klaster 3): P7 (75, 5, 55)</t>
  </si>
  <si>
    <t>X:</t>
  </si>
  <si>
    <t xml:space="preserve">Y: </t>
  </si>
  <si>
    <t xml:space="preserve">Z: </t>
  </si>
  <si>
    <t>ITERASI 2</t>
  </si>
  <si>
    <t>Langkah 5: Iterasi 2 (Hitung Ulang Jarak)</t>
  </si>
  <si>
    <t>C1 Baru: (62.5, 2.5, 72.5)
C2 Baru: (88.75, 7.75, 36.5)
C3 Baru: (76.5, 5.0, 56.5)</t>
  </si>
  <si>
    <t>"Berdasarkan hasil perhitungan Iterasi 2, terlihat bahwa seluruh data (ID 1 sampai 10) tetap berada pada Cluster yang sama dengan Iterasi 1. Karena tidak ada lagi data yang berpindah kelompok (keanggotaan tetap), maka algoritma dinyatakan telah KONVERGEN."</t>
  </si>
  <si>
    <t>Kesimpulan Hasil Cluster:
Cluster 1 (Kelompok Nilai Rendah/Kurang Belajar): P1, P2, P3, P9
Cluster 2 (Kelompok Nilai Tinggi/Rajin Belajar): P4, P5, P6, P10
Cluster 3 (Kelompok Nilai Sedang/Cukup Belajar): P7, P8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</si>
</sst>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_ "/>
  </numFmts>
  <fonts count="6" x14ac:knownFonts="1">
    <font>
      <sz val="11"/>
      <color theme="1"/>
      <name val="Calibri"/>
      <charset val="1"/>
    </font>
    <font>
      <b/>
      <sz val="16"/>
      <color theme="1"/>
      <name val="Calibri"/>
      <charset val="1"/>
    </font>
    <font>
      <sz val="12"/>
      <color theme="1"/>
      <name val="Calibri"/>
      <charset val="1"/>
    </font>
    <font>
      <b/>
      <sz val="12"/>
      <color theme="1"/>
      <name val="Calibri"/>
      <charset val="1"/>
    </font>
    <font>
      <b/>
      <sz val="12"/>
      <color rgb="FF1F1F1F"/>
      <name val="Calibri"/>
      <charset val="1"/>
    </font>
    <font>
      <sz val="12"/>
      <color rgb="FF1F1F1F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B6D7A8"/>
        <bgColor rgb="FFCC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 wrapText="1"/>
    </xf>
    <xf numFmtId="0" fontId="2" fillId="0" borderId="0" xfId="0" applyFont="1" applyBorder="1" applyAlignment="1">
      <alignment wrapText="1"/>
    </xf>
    <xf numFmtId="0" fontId="3" fillId="0" borderId="0" xfId="0" applyFont="1" applyBorder="1"/>
    <xf numFmtId="0" fontId="3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wrapText="1"/>
    </xf>
    <xf numFmtId="0" fontId="1" fillId="0" borderId="0" xfId="0" applyFont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wrapText="1"/>
    </xf>
    <xf numFmtId="0" fontId="4" fillId="2" borderId="1" xfId="0" applyFont="1" applyFill="1" applyBorder="1"/>
    <xf numFmtId="0" fontId="3" fillId="2" borderId="1" xfId="0" applyFont="1" applyFill="1" applyBorder="1" applyAlignment="1">
      <alignment horizontal="center" vertical="top"/>
    </xf>
    <xf numFmtId="0" fontId="5" fillId="0" borderId="1" xfId="0" applyFont="1" applyBorder="1"/>
    <xf numFmtId="164" fontId="2" fillId="0" borderId="1" xfId="0" applyNumberFormat="1" applyFont="1" applyBorder="1" applyAlignment="1">
      <alignment horizontal="left"/>
    </xf>
    <xf numFmtId="0" fontId="2" fillId="0" borderId="1" xfId="0" applyFont="1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0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47520</xdr:colOff>
      <xdr:row>1</xdr:row>
      <xdr:rowOff>57240</xdr:rowOff>
    </xdr:from>
    <xdr:to>
      <xdr:col>13</xdr:col>
      <xdr:colOff>736920</xdr:colOff>
      <xdr:row>4</xdr:row>
      <xdr:rowOff>75960</xdr:rowOff>
    </xdr:to>
    <xdr:pic>
      <xdr:nvPicPr>
        <xdr:cNvPr id="2" name="image1.png"/>
        <xdr:cNvPicPr/>
      </xdr:nvPicPr>
      <xdr:blipFill>
        <a:blip xmlns:r="http://schemas.openxmlformats.org/officeDocument/2006/relationships" r:embed="rId1"/>
        <a:stretch/>
      </xdr:blipFill>
      <xdr:spPr>
        <a:xfrm>
          <a:off x="8355240" y="238320"/>
          <a:ext cx="4133520" cy="5616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0"/>
  <sheetViews>
    <sheetView tabSelected="1" zoomScaleNormal="100" workbookViewId="0">
      <selection activeCell="A22" sqref="A22:H23"/>
    </sheetView>
  </sheetViews>
  <sheetFormatPr defaultColWidth="14.42578125" defaultRowHeight="15" x14ac:dyDescent="0.25"/>
  <cols>
    <col min="1" max="2" width="12.140625" customWidth="1"/>
    <col min="3" max="3" width="17.7109375" customWidth="1"/>
    <col min="4" max="4" width="15.140625" customWidth="1"/>
    <col min="5" max="9" width="12.140625" customWidth="1"/>
    <col min="10" max="10" width="12.42578125" customWidth="1"/>
    <col min="11" max="28" width="12.140625" customWidth="1"/>
  </cols>
  <sheetData>
    <row r="1" spans="1:28" ht="14.25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9"/>
      <c r="J1" s="7" t="s">
        <v>1</v>
      </c>
      <c r="K1" s="7"/>
      <c r="L1" s="7"/>
      <c r="M1" s="7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28" ht="14.25" customHeight="1" x14ac:dyDescent="0.25">
      <c r="A2" s="8"/>
      <c r="B2" s="8"/>
      <c r="C2" s="8"/>
      <c r="D2" s="8"/>
      <c r="E2" s="8"/>
      <c r="F2" s="8"/>
      <c r="G2" s="8"/>
      <c r="H2" s="8"/>
      <c r="I2" s="9"/>
      <c r="J2" s="10"/>
      <c r="K2" s="10"/>
      <c r="L2" s="10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 spans="1:28" ht="14.25" customHeight="1" x14ac:dyDescent="0.25">
      <c r="A3" s="11" t="s">
        <v>2</v>
      </c>
      <c r="B3" s="11" t="s">
        <v>3</v>
      </c>
      <c r="C3" s="11" t="s">
        <v>4</v>
      </c>
      <c r="D3" s="11" t="s">
        <v>5</v>
      </c>
      <c r="E3" s="12" t="s">
        <v>6</v>
      </c>
      <c r="F3" s="12" t="s">
        <v>7</v>
      </c>
      <c r="G3" s="12" t="s">
        <v>8</v>
      </c>
      <c r="H3" s="12" t="s">
        <v>9</v>
      </c>
      <c r="I3" s="9"/>
      <c r="J3" s="10"/>
      <c r="K3" s="10"/>
      <c r="L3" s="10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1:28" ht="14.25" customHeight="1" x14ac:dyDescent="0.25">
      <c r="A4" s="13" t="s">
        <v>10</v>
      </c>
      <c r="B4" s="13">
        <v>60</v>
      </c>
      <c r="C4" s="13">
        <v>2</v>
      </c>
      <c r="D4" s="13">
        <v>70</v>
      </c>
      <c r="E4" s="14">
        <f t="shared" ref="E4:E13" si="0">SQRT((B4-$D$15)^2 + (C4-$E$15)^2 + (D4-$F$15)^2)</f>
        <v>0</v>
      </c>
      <c r="F4" s="14">
        <f t="shared" ref="F4:F13" si="1">SQRT((B4-$D$17)^2 + (C4-$E$17)^2 + (D4-$F$17)^2)</f>
        <v>39.370039370059054</v>
      </c>
      <c r="G4" s="14">
        <f t="shared" ref="G4:G13" si="2">SQRT((B4-$D$19)^2 + (C4-$E$19)^2 + (D4-$F$19)^2)</f>
        <v>21.42428528562855</v>
      </c>
      <c r="H4" s="15" t="s">
        <v>11</v>
      </c>
      <c r="I4" s="9"/>
      <c r="J4" s="10"/>
      <c r="K4" s="10"/>
      <c r="L4" s="10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spans="1:28" ht="14.25" customHeight="1" x14ac:dyDescent="0.25">
      <c r="A5" s="13" t="s">
        <v>12</v>
      </c>
      <c r="B5" s="13">
        <v>65</v>
      </c>
      <c r="C5" s="13">
        <v>3</v>
      </c>
      <c r="D5" s="13">
        <v>75</v>
      </c>
      <c r="E5" s="14">
        <f t="shared" si="0"/>
        <v>7.1414284285428504</v>
      </c>
      <c r="F5" s="14">
        <f t="shared" si="1"/>
        <v>40.509258201058188</v>
      </c>
      <c r="G5" s="14">
        <f t="shared" si="2"/>
        <v>22.449944320643649</v>
      </c>
      <c r="H5" s="15" t="s">
        <v>11</v>
      </c>
      <c r="I5" s="9"/>
      <c r="J5" s="10"/>
      <c r="K5" s="10"/>
      <c r="L5" s="10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28" ht="14.25" customHeight="1" x14ac:dyDescent="0.25">
      <c r="A6" s="13" t="s">
        <v>13</v>
      </c>
      <c r="B6" s="13">
        <v>62</v>
      </c>
      <c r="C6" s="13">
        <v>2</v>
      </c>
      <c r="D6" s="13">
        <v>72</v>
      </c>
      <c r="E6" s="14">
        <f t="shared" si="0"/>
        <v>2.8284271247461903</v>
      </c>
      <c r="F6" s="14">
        <f t="shared" si="1"/>
        <v>39.724048132082409</v>
      </c>
      <c r="G6" s="14">
        <f t="shared" si="2"/>
        <v>21.61018278497431</v>
      </c>
      <c r="H6" s="15" t="s">
        <v>11</v>
      </c>
      <c r="I6" s="9"/>
      <c r="J6" s="16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28" ht="14.25" customHeight="1" x14ac:dyDescent="0.25">
      <c r="A7" s="13" t="s">
        <v>14</v>
      </c>
      <c r="B7" s="13">
        <v>85</v>
      </c>
      <c r="C7" s="13">
        <v>7</v>
      </c>
      <c r="D7" s="13">
        <v>40</v>
      </c>
      <c r="E7" s="14">
        <f t="shared" si="0"/>
        <v>39.370039370059054</v>
      </c>
      <c r="F7" s="14">
        <f t="shared" si="1"/>
        <v>0</v>
      </c>
      <c r="G7" s="14">
        <f t="shared" si="2"/>
        <v>18.138357147217054</v>
      </c>
      <c r="H7" s="15" t="s">
        <v>15</v>
      </c>
      <c r="J7" s="6" t="s">
        <v>16</v>
      </c>
      <c r="K7" s="6"/>
      <c r="L7" s="6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28" ht="14.25" customHeight="1" x14ac:dyDescent="0.25">
      <c r="A8" s="13" t="s">
        <v>17</v>
      </c>
      <c r="B8" s="13">
        <v>90</v>
      </c>
      <c r="C8" s="13">
        <v>8</v>
      </c>
      <c r="D8" s="13">
        <v>35</v>
      </c>
      <c r="E8" s="14">
        <f t="shared" si="0"/>
        <v>46.486557196677836</v>
      </c>
      <c r="F8" s="14">
        <f t="shared" si="1"/>
        <v>7.1414284285428504</v>
      </c>
      <c r="G8" s="14">
        <f t="shared" si="2"/>
        <v>25.179356624028344</v>
      </c>
      <c r="H8" s="15" t="s">
        <v>15</v>
      </c>
      <c r="I8" s="9"/>
      <c r="J8" s="17" t="s">
        <v>18</v>
      </c>
      <c r="K8" s="5" t="s">
        <v>19</v>
      </c>
      <c r="L8" s="5"/>
      <c r="M8" s="10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28" ht="14.25" customHeight="1" x14ac:dyDescent="0.25">
      <c r="A9" s="13" t="s">
        <v>20</v>
      </c>
      <c r="B9" s="13">
        <v>88</v>
      </c>
      <c r="C9" s="13">
        <v>7</v>
      </c>
      <c r="D9" s="13">
        <v>38</v>
      </c>
      <c r="E9" s="14">
        <f t="shared" si="0"/>
        <v>42.813549257215293</v>
      </c>
      <c r="F9" s="14">
        <f t="shared" si="1"/>
        <v>3.6055512754639891</v>
      </c>
      <c r="G9" s="14">
        <f t="shared" si="2"/>
        <v>21.494185260204677</v>
      </c>
      <c r="H9" s="15" t="s">
        <v>15</v>
      </c>
      <c r="I9" s="9"/>
      <c r="J9" s="17" t="s">
        <v>21</v>
      </c>
      <c r="K9" s="5" t="s">
        <v>22</v>
      </c>
      <c r="L9" s="5"/>
      <c r="M9" s="1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28" ht="14.25" customHeight="1" x14ac:dyDescent="0.25">
      <c r="A10" s="13" t="s">
        <v>23</v>
      </c>
      <c r="B10" s="13">
        <v>75</v>
      </c>
      <c r="C10" s="13">
        <v>5</v>
      </c>
      <c r="D10" s="13">
        <v>55</v>
      </c>
      <c r="E10" s="14">
        <f t="shared" si="0"/>
        <v>21.42428528562855</v>
      </c>
      <c r="F10" s="14">
        <f t="shared" si="1"/>
        <v>18.138357147217054</v>
      </c>
      <c r="G10" s="14">
        <f t="shared" si="2"/>
        <v>0</v>
      </c>
      <c r="H10" s="15" t="s">
        <v>24</v>
      </c>
      <c r="I10" s="9"/>
      <c r="J10" s="16" t="s">
        <v>25</v>
      </c>
      <c r="K10" s="5" t="s">
        <v>26</v>
      </c>
      <c r="L10" s="5"/>
      <c r="M10" s="1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28" ht="14.25" customHeight="1" x14ac:dyDescent="0.25">
      <c r="A11" s="13" t="s">
        <v>27</v>
      </c>
      <c r="B11" s="13">
        <v>78</v>
      </c>
      <c r="C11" s="13">
        <v>5</v>
      </c>
      <c r="D11" s="13">
        <v>58</v>
      </c>
      <c r="E11" s="14">
        <f t="shared" si="0"/>
        <v>21.840329667841555</v>
      </c>
      <c r="F11" s="14">
        <f t="shared" si="1"/>
        <v>19.416487838947599</v>
      </c>
      <c r="G11" s="14">
        <f t="shared" si="2"/>
        <v>4.2426406871192848</v>
      </c>
      <c r="H11" s="15" t="s">
        <v>24</v>
      </c>
      <c r="I11" s="9"/>
      <c r="J11" s="18"/>
      <c r="K11" s="18"/>
      <c r="L11" s="18"/>
      <c r="M11" s="1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28" ht="14.25" customHeight="1" x14ac:dyDescent="0.25">
      <c r="A12" s="13" t="s">
        <v>28</v>
      </c>
      <c r="B12" s="13">
        <v>63</v>
      </c>
      <c r="C12" s="13">
        <v>3</v>
      </c>
      <c r="D12" s="13">
        <v>73</v>
      </c>
      <c r="E12" s="14">
        <f t="shared" si="0"/>
        <v>4.358898943540674</v>
      </c>
      <c r="F12" s="14">
        <f t="shared" si="1"/>
        <v>39.862262855989499</v>
      </c>
      <c r="G12" s="14">
        <f t="shared" si="2"/>
        <v>21.725560982400431</v>
      </c>
      <c r="H12" s="15" t="s">
        <v>11</v>
      </c>
      <c r="I12" s="9"/>
      <c r="J12" s="4" t="s">
        <v>29</v>
      </c>
      <c r="K12" s="4"/>
      <c r="L12" s="4"/>
      <c r="M12" s="4"/>
      <c r="N12" s="4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28" ht="14.25" customHeight="1" x14ac:dyDescent="0.25">
      <c r="A13" s="13" t="s">
        <v>30</v>
      </c>
      <c r="B13" s="13">
        <v>92</v>
      </c>
      <c r="C13" s="13">
        <v>9</v>
      </c>
      <c r="D13" s="13">
        <v>33</v>
      </c>
      <c r="E13" s="14">
        <f t="shared" si="0"/>
        <v>49.416596402423345</v>
      </c>
      <c r="F13" s="14">
        <f t="shared" si="1"/>
        <v>10.099504938362077</v>
      </c>
      <c r="G13" s="14">
        <f t="shared" si="2"/>
        <v>28.089143810376278</v>
      </c>
      <c r="H13" s="15" t="s">
        <v>15</v>
      </c>
      <c r="I13" s="9"/>
      <c r="J13" s="17" t="s">
        <v>18</v>
      </c>
      <c r="K13" s="5" t="s">
        <v>31</v>
      </c>
      <c r="L13" s="5"/>
      <c r="M13" s="16" t="s">
        <v>25</v>
      </c>
      <c r="N13" s="5" t="s">
        <v>26</v>
      </c>
      <c r="O13" s="5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28" ht="14.25" customHeight="1" x14ac:dyDescent="0.25">
      <c r="A14" s="3" t="s">
        <v>32</v>
      </c>
      <c r="B14" s="3"/>
      <c r="C14" s="3"/>
      <c r="D14" s="19" t="s">
        <v>11</v>
      </c>
      <c r="G14" s="9"/>
      <c r="H14" s="9"/>
      <c r="I14" s="9"/>
      <c r="J14" s="19" t="s">
        <v>33</v>
      </c>
      <c r="K14" s="9">
        <f>(60 + 65 + 62 + 63) / 4</f>
        <v>62.5</v>
      </c>
      <c r="L14" s="9"/>
      <c r="M14" s="19" t="s">
        <v>33</v>
      </c>
      <c r="N14" s="9">
        <f>(75+78)/2</f>
        <v>76.5</v>
      </c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28" ht="14.25" customHeight="1" x14ac:dyDescent="0.25">
      <c r="A15" s="3"/>
      <c r="B15" s="3"/>
      <c r="C15" s="3"/>
      <c r="D15" s="9">
        <v>60</v>
      </c>
      <c r="E15" s="9">
        <v>2</v>
      </c>
      <c r="F15" s="9">
        <v>70</v>
      </c>
      <c r="G15" s="9"/>
      <c r="H15" s="9"/>
      <c r="I15" s="9"/>
      <c r="J15" s="19" t="s">
        <v>34</v>
      </c>
      <c r="K15" s="9">
        <f>(2+3+2+3)/4</f>
        <v>2.5</v>
      </c>
      <c r="L15" s="9"/>
      <c r="M15" s="19" t="s">
        <v>34</v>
      </c>
      <c r="N15" s="19">
        <f>(5+5)/2</f>
        <v>5</v>
      </c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28" ht="14.25" customHeight="1" x14ac:dyDescent="0.25">
      <c r="A16" s="3"/>
      <c r="B16" s="3"/>
      <c r="C16" s="3"/>
      <c r="D16" s="19" t="s">
        <v>15</v>
      </c>
      <c r="G16" s="9"/>
      <c r="H16" s="9"/>
      <c r="I16" s="9"/>
      <c r="J16" s="19" t="s">
        <v>35</v>
      </c>
      <c r="K16" s="9">
        <f>(70+75+72+73)/4</f>
        <v>72.5</v>
      </c>
      <c r="L16" s="9"/>
      <c r="M16" s="19" t="s">
        <v>35</v>
      </c>
      <c r="N16" s="19">
        <f>(55+58)/2</f>
        <v>56.5</v>
      </c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 ht="14.25" customHeight="1" x14ac:dyDescent="0.25">
      <c r="A17" s="3"/>
      <c r="B17" s="3"/>
      <c r="C17" s="3"/>
      <c r="D17" s="9">
        <v>85</v>
      </c>
      <c r="E17" s="9">
        <v>7</v>
      </c>
      <c r="F17" s="9">
        <v>40</v>
      </c>
      <c r="G17" s="9"/>
      <c r="H17" s="9"/>
      <c r="I17" s="9"/>
      <c r="J17" s="17" t="s">
        <v>21</v>
      </c>
      <c r="K17" s="5" t="s">
        <v>22</v>
      </c>
      <c r="L17" s="5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 ht="14.25" customHeight="1" x14ac:dyDescent="0.25">
      <c r="A18" s="3"/>
      <c r="B18" s="3"/>
      <c r="C18" s="3"/>
      <c r="D18" s="19" t="s">
        <v>24</v>
      </c>
      <c r="G18" s="9"/>
      <c r="H18" s="9"/>
      <c r="I18" s="9"/>
      <c r="J18" s="19" t="s">
        <v>33</v>
      </c>
      <c r="K18" s="9">
        <f>(85+90+88+92)/4</f>
        <v>88.75</v>
      </c>
      <c r="L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 ht="14.25" customHeight="1" x14ac:dyDescent="0.25">
      <c r="A19" s="3"/>
      <c r="B19" s="3"/>
      <c r="C19" s="3"/>
      <c r="D19" s="9">
        <v>75</v>
      </c>
      <c r="E19" s="9">
        <v>5</v>
      </c>
      <c r="F19" s="9">
        <v>55</v>
      </c>
      <c r="G19" s="9"/>
      <c r="H19" s="9"/>
      <c r="I19" s="9"/>
      <c r="J19" s="19" t="s">
        <v>34</v>
      </c>
      <c r="K19" s="9">
        <f>(7+8+7+9)/4</f>
        <v>7.75</v>
      </c>
      <c r="L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 ht="14.25" customHeight="1" x14ac:dyDescent="0.25">
      <c r="I20" s="9"/>
      <c r="J20" s="19" t="s">
        <v>35</v>
      </c>
      <c r="K20" s="9">
        <f>(40+35+38+33)/4</f>
        <v>36.5</v>
      </c>
      <c r="L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 ht="14.25" customHeight="1" x14ac:dyDescent="0.25">
      <c r="D21" s="9"/>
      <c r="E21" s="9"/>
      <c r="F21" s="9"/>
      <c r="G21" s="9"/>
      <c r="H21" s="9"/>
      <c r="I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1:28" ht="14.25" customHeight="1" x14ac:dyDescent="0.25">
      <c r="A22" s="8" t="s">
        <v>36</v>
      </c>
      <c r="B22" s="8"/>
      <c r="C22" s="8"/>
      <c r="D22" s="8"/>
      <c r="E22" s="8"/>
      <c r="F22" s="8"/>
      <c r="G22" s="8"/>
      <c r="H22" s="8"/>
      <c r="I22" s="9"/>
      <c r="J22" s="4" t="s">
        <v>37</v>
      </c>
      <c r="K22" s="4"/>
      <c r="L22" s="4"/>
      <c r="M22" s="4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 ht="14.25" customHeight="1" x14ac:dyDescent="0.25">
      <c r="A23" s="8"/>
      <c r="B23" s="8"/>
      <c r="C23" s="8"/>
      <c r="D23" s="8"/>
      <c r="E23" s="8"/>
      <c r="F23" s="8"/>
      <c r="G23" s="8"/>
      <c r="H23" s="8"/>
      <c r="I23" s="9"/>
      <c r="J23" s="3" t="s">
        <v>38</v>
      </c>
      <c r="K23" s="3"/>
      <c r="L23" s="20">
        <v>62.5</v>
      </c>
      <c r="M23" s="20">
        <v>2.5</v>
      </c>
      <c r="N23" s="20">
        <v>72.5</v>
      </c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 ht="14.25" customHeight="1" x14ac:dyDescent="0.25">
      <c r="A24" s="11" t="s">
        <v>2</v>
      </c>
      <c r="B24" s="11" t="s">
        <v>3</v>
      </c>
      <c r="C24" s="11" t="s">
        <v>4</v>
      </c>
      <c r="D24" s="11" t="s">
        <v>5</v>
      </c>
      <c r="E24" s="12" t="s">
        <v>6</v>
      </c>
      <c r="F24" s="12" t="s">
        <v>7</v>
      </c>
      <c r="G24" s="12" t="s">
        <v>8</v>
      </c>
      <c r="H24" s="12" t="s">
        <v>9</v>
      </c>
      <c r="I24" s="9"/>
      <c r="J24" s="3"/>
      <c r="K24" s="3"/>
      <c r="L24" s="20">
        <v>88.75</v>
      </c>
      <c r="M24" s="20">
        <v>7.75</v>
      </c>
      <c r="N24" s="20">
        <v>36.5</v>
      </c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spans="1:28" ht="14.25" customHeight="1" x14ac:dyDescent="0.25">
      <c r="A25" s="13" t="s">
        <v>10</v>
      </c>
      <c r="B25" s="13">
        <v>60</v>
      </c>
      <c r="C25" s="13">
        <v>2</v>
      </c>
      <c r="D25" s="13">
        <v>70</v>
      </c>
      <c r="E25" s="14">
        <f t="shared" ref="E25:E34" si="3">SQRT((B25-$L$23)^2 + (C25-$M$23)^2 + (D25-$N$23)^2)</f>
        <v>3.5707142142714252</v>
      </c>
      <c r="F25" s="14">
        <f t="shared" ref="F25:F34" si="4">SQRT((B25-$L$24)^2 + (C25-$M$24)^2 + (D25-$N$24)^2)</f>
        <v>44.518254682770305</v>
      </c>
      <c r="G25" s="14">
        <f t="shared" ref="G25:G34" si="5">SQRT((B25-$L$25)^2 + (C25-$M$25)^2 + (D25-$N$25)^2)</f>
        <v>21.529050141610984</v>
      </c>
      <c r="H25" s="15" t="s">
        <v>11</v>
      </c>
      <c r="I25" s="9"/>
      <c r="J25" s="3"/>
      <c r="K25" s="3"/>
      <c r="L25" s="20">
        <v>76.5</v>
      </c>
      <c r="M25" s="20">
        <v>5</v>
      </c>
      <c r="N25" s="20">
        <v>56.5</v>
      </c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spans="1:28" ht="14.25" customHeight="1" x14ac:dyDescent="0.25">
      <c r="A26" s="13" t="s">
        <v>12</v>
      </c>
      <c r="B26" s="13">
        <v>65</v>
      </c>
      <c r="C26" s="13">
        <v>3</v>
      </c>
      <c r="D26" s="13">
        <v>75</v>
      </c>
      <c r="E26" s="14">
        <f t="shared" si="3"/>
        <v>3.5707142142714252</v>
      </c>
      <c r="F26" s="14">
        <f t="shared" si="4"/>
        <v>45.484887600168918</v>
      </c>
      <c r="G26" s="14">
        <f t="shared" si="5"/>
        <v>21.874642854227357</v>
      </c>
      <c r="H26" s="15" t="s">
        <v>11</v>
      </c>
      <c r="I26" s="9"/>
      <c r="J26" s="2" t="s">
        <v>39</v>
      </c>
      <c r="K26" s="2"/>
      <c r="L26" s="2"/>
      <c r="M26" s="2"/>
      <c r="N26" s="2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1:28" ht="14.25" customHeight="1" x14ac:dyDescent="0.25">
      <c r="A27" s="13" t="s">
        <v>13</v>
      </c>
      <c r="B27" s="13">
        <v>62</v>
      </c>
      <c r="C27" s="13">
        <v>2</v>
      </c>
      <c r="D27" s="13">
        <v>72</v>
      </c>
      <c r="E27" s="14">
        <f t="shared" si="3"/>
        <v>0.8660254037844386</v>
      </c>
      <c r="F27" s="14">
        <f t="shared" si="4"/>
        <v>44.820475231750947</v>
      </c>
      <c r="G27" s="14">
        <f t="shared" si="5"/>
        <v>21.435951110226018</v>
      </c>
      <c r="H27" s="15" t="s">
        <v>11</v>
      </c>
      <c r="I27" s="9"/>
      <c r="J27" s="2"/>
      <c r="K27" s="2"/>
      <c r="L27" s="2"/>
      <c r="M27" s="2"/>
      <c r="N27" s="2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 spans="1:28" ht="14.25" customHeight="1" x14ac:dyDescent="0.25">
      <c r="A28" s="13" t="s">
        <v>14</v>
      </c>
      <c r="B28" s="13">
        <v>85</v>
      </c>
      <c r="C28" s="13">
        <v>7</v>
      </c>
      <c r="D28" s="13">
        <v>40</v>
      </c>
      <c r="E28" s="14">
        <f t="shared" si="3"/>
        <v>39.783790669065212</v>
      </c>
      <c r="F28" s="14">
        <f t="shared" si="4"/>
        <v>5.18411033833193</v>
      </c>
      <c r="G28" s="14">
        <f t="shared" si="5"/>
        <v>18.668154702594471</v>
      </c>
      <c r="H28" s="15" t="s">
        <v>15</v>
      </c>
      <c r="I28" s="9"/>
      <c r="J28" s="2"/>
      <c r="K28" s="2"/>
      <c r="L28" s="2"/>
      <c r="M28" s="2"/>
      <c r="N28" s="2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 spans="1:28" ht="14.25" customHeight="1" x14ac:dyDescent="0.25">
      <c r="A29" s="13" t="s">
        <v>17</v>
      </c>
      <c r="B29" s="13">
        <v>90</v>
      </c>
      <c r="C29" s="13">
        <v>8</v>
      </c>
      <c r="D29" s="13">
        <v>35</v>
      </c>
      <c r="E29" s="14">
        <f t="shared" si="3"/>
        <v>46.826808560908781</v>
      </c>
      <c r="F29" s="14">
        <f t="shared" si="4"/>
        <v>1.9685019685029528</v>
      </c>
      <c r="G29" s="14">
        <f t="shared" si="5"/>
        <v>25.563646062328434</v>
      </c>
      <c r="H29" s="15" t="s">
        <v>15</v>
      </c>
      <c r="I29" s="9"/>
      <c r="J29" s="2"/>
      <c r="K29" s="2"/>
      <c r="L29" s="2"/>
      <c r="M29" s="2"/>
      <c r="N29" s="2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1:28" ht="14.25" customHeight="1" x14ac:dyDescent="0.25">
      <c r="A30" s="13" t="s">
        <v>20</v>
      </c>
      <c r="B30" s="13">
        <v>88</v>
      </c>
      <c r="C30" s="13">
        <v>7</v>
      </c>
      <c r="D30" s="13">
        <v>38</v>
      </c>
      <c r="E30" s="14">
        <f t="shared" si="3"/>
        <v>43.136411533645216</v>
      </c>
      <c r="F30" s="14">
        <f t="shared" si="4"/>
        <v>1.8371173070873836</v>
      </c>
      <c r="G30" s="14">
        <f t="shared" si="5"/>
        <v>21.874642854227357</v>
      </c>
      <c r="H30" s="15" t="s">
        <v>15</v>
      </c>
      <c r="I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pans="1:28" ht="14.25" customHeight="1" x14ac:dyDescent="0.25">
      <c r="A31" s="13" t="s">
        <v>23</v>
      </c>
      <c r="B31" s="13">
        <v>75</v>
      </c>
      <c r="C31" s="13">
        <v>5</v>
      </c>
      <c r="D31" s="13">
        <v>55</v>
      </c>
      <c r="E31" s="14">
        <f t="shared" si="3"/>
        <v>21.650635094610966</v>
      </c>
      <c r="F31" s="14">
        <f t="shared" si="4"/>
        <v>23.213681310813243</v>
      </c>
      <c r="G31" s="14">
        <f t="shared" si="5"/>
        <v>2.1213203435596424</v>
      </c>
      <c r="H31" s="15" t="s">
        <v>24</v>
      </c>
      <c r="I31" s="9"/>
      <c r="J31" s="1" t="s">
        <v>40</v>
      </c>
      <c r="K31" s="1"/>
      <c r="L31" s="1"/>
      <c r="M31" s="1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1:28" ht="14.25" customHeight="1" x14ac:dyDescent="0.25">
      <c r="A32" s="13" t="s">
        <v>27</v>
      </c>
      <c r="B32" s="13">
        <v>78</v>
      </c>
      <c r="C32" s="13">
        <v>5</v>
      </c>
      <c r="D32" s="13">
        <v>58</v>
      </c>
      <c r="E32" s="14">
        <f t="shared" si="3"/>
        <v>21.37171027316251</v>
      </c>
      <c r="F32" s="14">
        <f t="shared" si="4"/>
        <v>24.194524173870416</v>
      </c>
      <c r="G32" s="14">
        <f t="shared" si="5"/>
        <v>2.1213203435596424</v>
      </c>
      <c r="H32" s="15" t="s">
        <v>24</v>
      </c>
      <c r="I32" s="9"/>
      <c r="J32" s="1"/>
      <c r="K32" s="1"/>
      <c r="L32" s="1"/>
      <c r="M32" s="1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1:28" ht="14.25" customHeight="1" x14ac:dyDescent="0.25">
      <c r="A33" s="13" t="s">
        <v>28</v>
      </c>
      <c r="B33" s="13">
        <v>63</v>
      </c>
      <c r="C33" s="13">
        <v>3</v>
      </c>
      <c r="D33" s="13">
        <v>73</v>
      </c>
      <c r="E33" s="14">
        <f t="shared" si="3"/>
        <v>0.8660254037844386</v>
      </c>
      <c r="F33" s="14">
        <f t="shared" si="4"/>
        <v>44.920763573207438</v>
      </c>
      <c r="G33" s="14">
        <f t="shared" si="5"/>
        <v>21.412613105363857</v>
      </c>
      <c r="H33" s="15" t="s">
        <v>11</v>
      </c>
      <c r="I33" s="9"/>
      <c r="J33" s="1"/>
      <c r="K33" s="1"/>
      <c r="L33" s="1"/>
      <c r="M33" s="1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 ht="14.25" customHeight="1" x14ac:dyDescent="0.25">
      <c r="A34" s="13" t="s">
        <v>30</v>
      </c>
      <c r="B34" s="13">
        <v>92</v>
      </c>
      <c r="C34" s="13">
        <v>9</v>
      </c>
      <c r="D34" s="13">
        <v>33</v>
      </c>
      <c r="E34" s="14">
        <f t="shared" si="3"/>
        <v>49.726753362752326</v>
      </c>
      <c r="F34" s="14">
        <f t="shared" si="4"/>
        <v>4.9371044145328744</v>
      </c>
      <c r="G34" s="14">
        <f t="shared" si="5"/>
        <v>28.434134416225863</v>
      </c>
      <c r="H34" s="15" t="s">
        <v>15</v>
      </c>
      <c r="I34" s="9"/>
      <c r="J34" s="1"/>
      <c r="K34" s="1"/>
      <c r="L34" s="1"/>
      <c r="M34" s="1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spans="1:28" ht="14.25" customHeight="1" x14ac:dyDescent="0.25">
      <c r="A35" s="9"/>
      <c r="B35" s="9"/>
      <c r="C35" s="9"/>
      <c r="D35" s="9"/>
      <c r="E35" s="9"/>
      <c r="F35" s="9"/>
      <c r="G35" s="9"/>
      <c r="H35" s="9"/>
      <c r="I35" s="9"/>
      <c r="J35" s="1"/>
      <c r="K35" s="1"/>
      <c r="L35" s="1"/>
      <c r="M35" s="1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1:28" ht="14.25" customHeight="1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spans="1:28" ht="14.25" customHeight="1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spans="1:28" ht="14.25" customHeight="1" x14ac:dyDescent="0.25">
      <c r="A38" s="9"/>
      <c r="B38" s="9"/>
      <c r="C38" s="9"/>
      <c r="D38" s="9"/>
      <c r="E38" s="9"/>
      <c r="F38" s="9"/>
      <c r="G38" s="9"/>
      <c r="H38" s="9"/>
      <c r="I38" s="9"/>
      <c r="J38" s="20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spans="1:28" ht="14.25" customHeight="1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spans="1:28" ht="14.25" customHeight="1" x14ac:dyDescent="0.25">
      <c r="A40" s="9"/>
      <c r="B40" s="9"/>
      <c r="C40" s="9"/>
      <c r="D40" s="9"/>
      <c r="E40" s="9"/>
      <c r="F40" s="9"/>
      <c r="G40" s="9"/>
      <c r="H40" s="9"/>
      <c r="I40" s="9"/>
      <c r="J40" s="16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spans="1:28" ht="14.25" customHeight="1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pans="1:28" ht="14.25" customHeight="1" x14ac:dyDescent="0.25">
      <c r="A42" s="9"/>
      <c r="B42" s="9"/>
      <c r="C42" s="9"/>
      <c r="D42" s="9"/>
      <c r="E42" s="9"/>
      <c r="F42" s="9"/>
      <c r="G42" s="9"/>
      <c r="H42" s="9"/>
      <c r="I42" s="9"/>
      <c r="J42" s="16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spans="1:28" ht="14.25" customHeight="1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spans="1:28" ht="14.25" customHeight="1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1:28" ht="14.25" customHeight="1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spans="1:28" ht="14.25" customHeight="1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 spans="1:28" ht="14.25" customHeight="1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 spans="1:28" ht="14.25" customHeight="1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 spans="1:28" ht="14.25" customHeight="1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 spans="1:28" ht="14.25" customHeight="1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 spans="1:28" ht="14.25" customHeight="1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 spans="1:28" ht="14.25" customHeight="1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 spans="1:28" ht="14.25" customHeight="1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 spans="1:28" ht="14.2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 spans="1:28" ht="14.25" customHeight="1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 spans="1:28" ht="14.25" customHeight="1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 spans="1:28" ht="14.25" customHeight="1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 spans="1:28" ht="14.25" customHeight="1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 spans="1:28" ht="14.25" customHeight="1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 spans="1:28" ht="14.25" customHeight="1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 spans="1:28" ht="14.25" customHeight="1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 spans="1:28" ht="14.25" customHeight="1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 spans="1:28" ht="14.25" customHeight="1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 spans="1:28" ht="14.25" customHeight="1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 spans="1:28" ht="14.25" customHeight="1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 spans="1:28" ht="14.25" customHeight="1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 spans="1:28" ht="14.25" customHeight="1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 spans="1:28" ht="14.25" customHeight="1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 spans="1:28" ht="14.25" customHeight="1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 spans="1:28" ht="14.25" customHeight="1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 spans="1:28" ht="14.25" customHeight="1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 spans="1:28" ht="14.25" customHeight="1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 spans="1:28" ht="14.25" customHeight="1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 spans="1:28" ht="14.25" customHeight="1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 spans="1:28" ht="14.25" customHeight="1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 spans="1:28" ht="14.25" customHeight="1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 spans="1:28" ht="14.25" customHeight="1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 spans="1:28" ht="14.25" customHeight="1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 spans="1:28" ht="14.25" customHeight="1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 spans="1:28" ht="14.25" customHeight="1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 spans="1:28" ht="14.25" customHeight="1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 spans="1:28" ht="14.25" customHeight="1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 spans="1:28" ht="14.25" customHeight="1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 spans="1:28" ht="14.25" customHeight="1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 spans="1:28" ht="14.25" customHeight="1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 spans="1:28" ht="14.25" customHeight="1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 spans="1:28" ht="14.25" customHeight="1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 spans="1:28" ht="14.25" customHeight="1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 spans="1:28" ht="14.25" customHeight="1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 spans="1:28" ht="14.25" customHeight="1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 spans="1:28" ht="14.25" customHeight="1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 spans="1:28" ht="14.25" customHeight="1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 spans="1:28" ht="14.25" customHeight="1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 spans="1:28" ht="14.25" customHeight="1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 spans="1:28" ht="14.25" customHeight="1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 spans="1:28" ht="14.25" customHeight="1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 spans="1:28" ht="14.25" customHeight="1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 spans="1:28" ht="14.25" customHeight="1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 spans="1:28" ht="14.25" customHeight="1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 spans="1:28" ht="14.25" customHeight="1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 spans="1:28" ht="14.25" customHeight="1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 spans="1:28" ht="14.25" customHeight="1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 spans="1:28" ht="14.25" customHeight="1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 spans="1:28" ht="14.25" customHeight="1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 spans="1:28" ht="14.25" customHeight="1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 spans="1:28" ht="14.25" customHeight="1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 spans="1:28" ht="14.25" customHeight="1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 spans="1:28" ht="14.25" customHeight="1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 spans="1:28" ht="14.25" customHeight="1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 spans="1:28" ht="14.25" customHeight="1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 spans="1:28" ht="14.2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 spans="1:28" ht="14.25" customHeight="1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 spans="1:28" ht="14.25" customHeight="1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 spans="1:28" ht="14.25" customHeight="1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 spans="1:28" ht="14.25" customHeight="1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 spans="1:28" ht="14.25" customHeight="1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 spans="1:28" ht="14.25" customHeight="1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 spans="1:28" ht="14.25" customHeight="1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 spans="1:28" ht="14.25" customHeight="1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 spans="1:28" ht="14.25" customHeight="1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 spans="1:28" ht="14.25" customHeight="1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 spans="1:28" ht="14.25" customHeight="1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 spans="1:28" ht="14.25" customHeight="1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 spans="1:28" ht="14.25" customHeight="1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 spans="1:28" ht="14.25" customHeight="1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 spans="1:28" ht="14.25" customHeight="1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 spans="1:28" ht="14.25" customHeight="1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 spans="1:28" ht="14.25" customHeight="1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 spans="1:28" ht="14.25" customHeight="1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 spans="1:28" ht="14.25" customHeight="1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 spans="1:28" ht="14.25" customHeight="1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 spans="1:28" ht="14.25" customHeight="1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 spans="1:28" ht="14.25" customHeight="1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 spans="1:28" ht="14.25" customHeight="1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 spans="1:28" ht="14.25" customHeight="1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 spans="1:28" ht="14.25" customHeight="1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 spans="1:28" ht="14.25" customHeight="1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 spans="1:28" ht="14.25" customHeight="1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 spans="1:28" ht="14.25" customHeight="1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 spans="1:28" ht="14.25" customHeight="1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 spans="1:28" ht="14.25" customHeight="1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 spans="1:28" ht="14.25" customHeight="1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 spans="1:28" ht="14.25" customHeight="1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 spans="1:28" ht="14.25" customHeight="1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 spans="1:28" ht="14.25" customHeight="1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 spans="1:28" ht="14.25" customHeight="1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 spans="1:28" ht="14.25" customHeight="1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 spans="1:28" ht="14.25" customHeight="1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 spans="1:28" ht="14.25" customHeight="1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 spans="1:28" ht="14.25" customHeight="1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 spans="1:28" ht="14.25" customHeight="1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 spans="1:28" ht="14.25" customHeight="1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 spans="1:28" ht="14.25" customHeight="1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 spans="1:28" ht="14.25" customHeight="1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 spans="1:28" ht="14.25" customHeight="1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 spans="1:28" ht="14.25" customHeight="1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 spans="1:28" ht="14.25" customHeight="1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 spans="1:28" ht="14.25" customHeight="1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 spans="1:28" ht="14.25" customHeight="1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 spans="1:28" ht="14.25" customHeight="1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 spans="1:28" ht="14.25" customHeight="1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 spans="1:28" ht="14.25" customHeight="1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 spans="1:28" ht="14.25" customHeight="1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 spans="1:28" ht="14.25" customHeight="1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 spans="1:28" ht="14.25" customHeight="1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 spans="1:28" ht="14.25" customHeight="1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 spans="1:28" ht="14.25" customHeight="1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 spans="1:28" ht="14.25" customHeight="1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 spans="1:28" ht="14.25" customHeight="1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 spans="1:28" ht="14.25" customHeight="1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 spans="1:28" ht="14.25" customHeight="1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 spans="1:28" ht="14.25" customHeight="1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 spans="1:28" ht="14.25" customHeight="1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 spans="1:28" ht="14.25" customHeight="1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 spans="1:28" ht="14.25" customHeight="1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 spans="1:28" ht="14.25" customHeight="1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 spans="1:28" ht="14.25" customHeight="1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 spans="1:28" ht="14.25" customHeight="1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 spans="1:28" ht="14.25" customHeight="1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 spans="1:28" ht="14.25" customHeight="1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 spans="1:28" ht="14.25" customHeight="1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 spans="1:28" ht="14.25" customHeight="1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 spans="1:28" ht="14.25" customHeight="1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 spans="1:28" ht="14.25" customHeight="1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 spans="1:28" ht="14.25" customHeight="1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 spans="1:28" ht="14.25" customHeight="1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 spans="1:28" ht="14.25" customHeight="1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 spans="1:28" ht="14.25" customHeight="1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 spans="1:28" ht="14.25" customHeight="1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 spans="1:28" ht="14.25" customHeight="1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 spans="1:28" ht="14.25" customHeight="1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 spans="1:28" ht="14.25" customHeight="1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 spans="1:28" ht="14.25" customHeight="1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 spans="1:28" ht="14.25" customHeight="1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 spans="1:28" ht="14.25" customHeight="1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 spans="1:28" ht="14.25" customHeight="1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 spans="1:28" ht="14.25" customHeight="1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 spans="1:28" ht="14.25" customHeight="1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 spans="1:28" ht="14.25" customHeight="1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 spans="1:28" ht="14.25" customHeight="1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 spans="1:28" ht="14.25" customHeight="1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 spans="1:28" ht="14.25" customHeight="1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 spans="1:28" ht="14.25" customHeight="1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 spans="1:28" ht="14.25" customHeight="1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 spans="1:28" ht="14.25" customHeight="1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 spans="1:28" ht="14.25" customHeight="1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 spans="1:28" ht="14.25" customHeight="1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 spans="1:28" ht="14.25" customHeight="1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 spans="1:28" ht="14.25" customHeight="1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 spans="1:28" ht="14.25" customHeight="1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 spans="1:28" ht="14.25" customHeight="1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 spans="1:28" ht="14.25" customHeight="1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 spans="1:28" ht="14.25" customHeight="1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 spans="1:28" ht="14.25" customHeight="1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 spans="1:28" ht="14.25" customHeight="1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 spans="1:28" ht="14.25" customHeight="1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 spans="1:28" ht="14.25" customHeight="1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 spans="1:28" ht="14.25" customHeight="1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 spans="1:28" ht="14.25" customHeight="1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 spans="1:28" ht="14.25" customHeight="1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 spans="1:28" ht="14.25" customHeight="1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 spans="1:28" ht="14.25" customHeight="1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 spans="1:28" ht="14.25" customHeight="1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 spans="1:28" ht="14.25" customHeight="1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 spans="1:28" ht="14.25" customHeight="1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 spans="1:28" ht="14.25" customHeight="1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 spans="1:28" ht="14.25" customHeight="1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 spans="1:28" ht="14.25" customHeight="1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 spans="1:28" ht="14.25" customHeight="1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 spans="1:28" ht="14.25" customHeight="1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 spans="1:28" ht="14.25" customHeight="1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 spans="1:28" ht="14.25" customHeight="1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 spans="1:28" ht="14.25" customHeight="1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 spans="1:28" ht="14.25" customHeight="1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 spans="1:28" ht="14.25" customHeight="1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 spans="1:28" ht="14.25" customHeight="1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 spans="1:28" ht="14.25" customHeight="1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 spans="1:28" ht="14.25" customHeight="1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 spans="1:28" ht="14.25" customHeight="1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 spans="1:28" ht="14.25" customHeight="1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 spans="1:28" ht="14.25" customHeight="1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 spans="1:28" ht="14.25" customHeight="1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 spans="1:28" ht="14.25" customHeight="1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 spans="1:28" ht="14.25" customHeight="1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 spans="1:28" ht="14.25" customHeight="1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 spans="1:28" ht="14.25" customHeight="1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 spans="1:28" ht="14.25" customHeight="1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 spans="1:28" ht="14.25" customHeight="1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 spans="1:28" ht="14.25" customHeight="1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 spans="1:28" ht="14.25" customHeight="1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 spans="1:28" ht="14.25" customHeight="1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 spans="1:28" ht="14.25" customHeight="1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 spans="1:28" ht="14.25" customHeight="1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 spans="1:28" ht="14.25" customHeight="1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 spans="1:28" ht="14.25" customHeight="1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 spans="1:28" ht="14.25" customHeight="1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 spans="1:28" ht="14.25" customHeight="1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 spans="1:28" ht="14.25" customHeight="1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 spans="1:28" ht="14.25" customHeight="1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 spans="1:28" ht="14.25" customHeight="1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 spans="1:28" ht="14.25" customHeight="1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 spans="1:28" ht="14.25" customHeight="1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 spans="1:28" ht="14.25" customHeight="1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 spans="1:28" ht="14.25" customHeight="1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 spans="1:28" ht="14.25" customHeight="1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 spans="1:28" ht="14.25" customHeight="1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 spans="1:28" ht="14.25" customHeight="1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 spans="1:28" ht="14.25" customHeight="1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 spans="1:28" ht="14.25" customHeight="1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 spans="1:28" ht="14.25" customHeight="1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 spans="1:28" ht="14.25" customHeight="1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 spans="1:28" ht="14.25" customHeight="1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 spans="1:28" ht="14.25" customHeight="1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 spans="1:28" ht="14.25" customHeight="1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 spans="1:28" ht="14.25" customHeight="1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 spans="1:28" ht="14.25" customHeight="1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 spans="1:28" ht="14.25" customHeight="1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 spans="1:28" ht="14.25" customHeight="1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 spans="1:28" ht="14.25" customHeight="1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 spans="1:28" ht="14.25" customHeight="1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 spans="1:28" ht="14.25" customHeight="1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 spans="1:28" ht="14.25" customHeight="1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 spans="1:28" ht="14.25" customHeight="1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 spans="1:28" ht="14.25" customHeight="1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 spans="1:28" ht="14.25" customHeight="1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 spans="1:28" ht="14.25" customHeight="1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 spans="1:28" ht="14.25" customHeight="1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 spans="1:28" ht="14.25" customHeight="1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 spans="1:28" ht="14.25" customHeight="1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 spans="1:28" ht="14.25" customHeight="1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 spans="1:28" ht="14.25" customHeight="1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 spans="1:28" ht="14.25" customHeight="1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 spans="1:28" ht="14.25" customHeight="1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 spans="1:28" ht="14.25" customHeight="1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 spans="1:28" ht="14.25" customHeight="1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 spans="1:28" ht="14.25" customHeight="1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 spans="1:28" ht="14.25" customHeight="1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 spans="1:28" ht="14.25" customHeight="1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 spans="1:28" ht="14.25" customHeight="1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 spans="1:28" ht="14.25" customHeight="1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 spans="1:28" ht="14.25" customHeight="1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 spans="1:28" ht="14.25" customHeight="1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 spans="1:28" ht="14.25" customHeight="1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 spans="1:28" ht="14.25" customHeight="1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 spans="1:28" ht="14.25" customHeight="1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 spans="1:28" ht="14.25" customHeight="1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 spans="1:28" ht="14.25" customHeight="1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 spans="1:28" ht="14.25" customHeight="1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 spans="1:28" ht="14.25" customHeight="1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 spans="1:28" ht="14.25" customHeight="1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 spans="1:28" ht="14.25" customHeight="1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 spans="1:28" ht="14.25" customHeight="1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 spans="1:28" ht="14.25" customHeight="1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 spans="1:28" ht="14.25" customHeight="1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 spans="1:28" ht="14.25" customHeight="1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 spans="1:28" ht="14.25" customHeight="1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 spans="1:28" ht="14.25" customHeight="1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 spans="1:28" ht="14.25" customHeight="1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 spans="1:28" ht="14.25" customHeight="1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 spans="1:28" ht="14.25" customHeight="1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 spans="1:28" ht="14.25" customHeight="1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 spans="1:28" ht="14.25" customHeight="1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 spans="1:28" ht="14.25" customHeight="1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 spans="1:28" ht="14.25" customHeight="1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 spans="1:28" ht="14.25" customHeight="1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 spans="1:28" ht="14.25" customHeight="1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 spans="1:28" ht="14.25" customHeight="1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 spans="1:28" ht="14.25" customHeight="1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 spans="1:28" ht="14.25" customHeight="1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 spans="1:28" ht="14.25" customHeight="1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 spans="1:28" ht="14.25" customHeight="1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 spans="1:28" ht="14.25" customHeight="1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 spans="1:28" ht="14.25" customHeight="1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 spans="1:28" ht="14.25" customHeight="1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 spans="1:28" ht="14.25" customHeight="1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 spans="1:28" ht="14.25" customHeight="1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 spans="1:28" ht="14.25" customHeight="1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 spans="1:28" ht="14.25" customHeight="1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 spans="1:28" ht="14.25" customHeight="1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 spans="1:28" ht="14.25" customHeight="1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 spans="1:28" ht="14.25" customHeight="1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 spans="1:28" ht="14.25" customHeight="1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 spans="1:28" ht="14.25" customHeight="1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 spans="1:28" ht="14.25" customHeight="1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 spans="1:28" ht="14.25" customHeight="1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 spans="1:28" ht="14.25" customHeight="1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 spans="1:28" ht="14.25" customHeight="1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 spans="1:28" ht="14.25" customHeight="1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 spans="1:28" ht="14.25" customHeight="1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 spans="1:28" ht="14.25" customHeight="1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 spans="1:28" ht="14.25" customHeight="1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 spans="1:28" ht="14.25" customHeight="1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 spans="1:28" ht="14.25" customHeight="1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 spans="1:28" ht="14.25" customHeight="1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 spans="1:28" ht="14.25" customHeight="1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 spans="1:28" ht="14.25" customHeight="1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 spans="1:28" ht="14.25" customHeight="1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 spans="1:28" ht="14.25" customHeight="1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 spans="1:28" ht="14.25" customHeight="1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 spans="1:28" ht="14.25" customHeight="1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 spans="1:28" ht="14.25" customHeight="1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 spans="1:28" ht="14.25" customHeight="1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 spans="1:28" ht="14.25" customHeight="1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 spans="1:28" ht="14.25" customHeight="1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 spans="1:28" ht="14.25" customHeight="1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 spans="1:28" ht="14.25" customHeight="1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 spans="1:28" ht="14.25" customHeight="1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 spans="1:28" ht="14.25" customHeight="1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 spans="1:28" ht="14.25" customHeight="1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 spans="1:28" ht="14.25" customHeight="1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 spans="1:28" ht="14.25" customHeight="1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 spans="1:28" ht="14.25" customHeight="1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 spans="1:28" ht="14.25" customHeight="1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 spans="1:28" ht="14.25" customHeight="1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 spans="1:28" ht="14.25" customHeight="1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 spans="1:28" ht="14.25" customHeight="1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 spans="1:28" ht="14.25" customHeight="1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 spans="1:28" ht="14.25" customHeight="1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 spans="1:28" ht="14.25" customHeight="1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 spans="1:28" ht="14.25" customHeight="1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 spans="1:28" ht="14.25" customHeight="1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 spans="1:28" ht="14.25" customHeight="1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 spans="1:28" ht="14.25" customHeight="1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 spans="1:28" ht="14.25" customHeight="1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 spans="1:28" ht="14.25" customHeight="1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 spans="1:28" ht="14.25" customHeight="1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 spans="1:28" ht="14.25" customHeight="1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 spans="1:28" ht="14.25" customHeight="1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 spans="1:28" ht="14.25" customHeight="1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 spans="1:28" ht="14.25" customHeight="1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 spans="1:28" ht="14.25" customHeight="1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 spans="1:28" ht="14.25" customHeight="1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 spans="1:28" ht="14.25" customHeight="1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 spans="1:28" ht="14.25" customHeight="1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 spans="1:28" ht="14.25" customHeight="1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 spans="1:28" ht="14.25" customHeight="1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 spans="1:28" ht="14.25" customHeight="1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 spans="1:28" ht="14.25" customHeight="1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 spans="1:28" ht="14.25" customHeight="1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 spans="1:28" ht="14.25" customHeight="1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 spans="1:28" ht="14.25" customHeight="1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 spans="1:28" ht="14.25" customHeight="1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 spans="1:28" ht="14.25" customHeight="1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 spans="1:28" ht="14.25" customHeight="1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 spans="1:28" ht="14.25" customHeight="1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 spans="1:28" ht="14.25" customHeight="1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 spans="1:28" ht="14.25" customHeight="1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 spans="1:28" ht="14.25" customHeight="1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 spans="1:28" ht="14.25" customHeight="1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 spans="1:28" ht="14.25" customHeight="1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 spans="1:28" ht="14.25" customHeight="1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 spans="1:28" ht="14.25" customHeight="1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 spans="1:28" ht="14.25" customHeight="1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 spans="1:28" ht="14.25" customHeight="1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 spans="1:28" ht="14.25" customHeight="1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 spans="1:28" ht="14.25" customHeight="1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 spans="1:28" ht="14.25" customHeight="1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 spans="1:28" ht="14.25" customHeight="1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 spans="1:28" ht="14.25" customHeight="1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 spans="1:28" ht="14.25" customHeight="1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 spans="1:28" ht="14.25" customHeight="1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 spans="1:28" ht="14.25" customHeight="1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 spans="1:28" ht="14.25" customHeight="1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 spans="1:28" ht="14.25" customHeight="1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 spans="1:28" ht="14.25" customHeight="1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 spans="1:28" ht="14.25" customHeight="1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 spans="1:28" ht="14.25" customHeight="1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 spans="1:28" ht="14.25" customHeight="1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 spans="1:28" ht="14.25" customHeight="1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 spans="1:28" ht="14.25" customHeight="1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 spans="1:28" ht="14.25" customHeight="1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 spans="1:28" ht="14.25" customHeight="1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 spans="1:28" ht="14.25" customHeight="1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 spans="1:28" ht="14.25" customHeight="1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 spans="1:28" ht="14.25" customHeight="1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 spans="1:28" ht="14.25" customHeight="1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 spans="1:28" ht="14.25" customHeight="1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 spans="1:28" ht="14.25" customHeight="1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 spans="1:28" ht="14.25" customHeight="1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 spans="1:28" ht="14.25" customHeight="1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 spans="1:28" ht="14.25" customHeight="1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 spans="1:28" ht="14.25" customHeight="1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 spans="1:28" ht="14.25" customHeight="1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 spans="1:28" ht="14.25" customHeight="1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 spans="1:28" ht="14.25" customHeight="1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 spans="1:28" ht="14.25" customHeight="1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 spans="1:28" ht="14.25" customHeight="1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 spans="1:28" ht="14.25" customHeight="1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 spans="1:28" ht="14.25" customHeight="1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 spans="1:28" ht="14.25" customHeight="1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 spans="1:28" ht="14.25" customHeight="1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 spans="1:28" ht="14.25" customHeight="1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 spans="1:28" ht="14.25" customHeight="1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 spans="1:28" ht="14.25" customHeight="1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 spans="1:28" ht="14.25" customHeight="1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 spans="1:28" ht="14.25" customHeight="1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 spans="1:28" ht="14.25" customHeight="1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 spans="1:28" ht="14.25" customHeight="1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 spans="1:28" ht="14.25" customHeight="1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 spans="1:28" ht="14.25" customHeight="1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 spans="1:28" ht="14.25" customHeight="1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 spans="1:28" ht="14.25" customHeight="1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 spans="1:28" ht="14.25" customHeight="1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 spans="1:28" ht="14.25" customHeight="1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 spans="1:28" ht="14.25" customHeight="1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 spans="1:28" ht="14.25" customHeight="1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 spans="1:28" ht="14.25" customHeight="1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 spans="1:28" ht="14.25" customHeight="1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 spans="1:28" ht="14.25" customHeight="1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 spans="1:28" ht="14.25" customHeight="1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 spans="1:28" ht="14.25" customHeight="1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 spans="1:28" ht="14.25" customHeight="1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 spans="1:28" ht="14.25" customHeight="1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 spans="1:28" ht="14.25" customHeight="1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 spans="1:28" ht="14.25" customHeight="1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 spans="1:28" ht="14.25" customHeight="1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 spans="1:28" ht="14.25" customHeight="1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 spans="1:28" ht="14.25" customHeight="1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 spans="1:28" ht="14.25" customHeight="1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 spans="1:28" ht="14.25" customHeight="1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 spans="1:28" ht="14.25" customHeight="1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 spans="1:28" ht="14.25" customHeight="1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 spans="1:28" ht="14.25" customHeight="1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 spans="1:28" ht="14.25" customHeight="1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 spans="1:28" ht="14.25" customHeight="1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 spans="1:28" ht="14.25" customHeight="1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 spans="1:28" ht="14.25" customHeight="1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 spans="1:28" ht="14.25" customHeight="1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 spans="1:28" ht="14.25" customHeight="1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 spans="1:28" ht="14.25" customHeight="1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 spans="1:28" ht="14.25" customHeight="1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 spans="1:28" ht="14.25" customHeight="1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 spans="1:28" ht="14.25" customHeight="1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 spans="1:28" ht="14.25" customHeight="1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 spans="1:28" ht="14.25" customHeight="1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 spans="1:28" ht="14.25" customHeight="1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 spans="1:28" ht="14.25" customHeight="1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 spans="1:28" ht="14.25" customHeight="1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 spans="1:28" ht="14.25" customHeight="1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 spans="1:28" ht="14.25" customHeight="1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 spans="1:28" ht="14.25" customHeight="1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 spans="1:28" ht="14.25" customHeight="1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 spans="1:28" ht="14.25" customHeight="1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 spans="1:28" ht="14.25" customHeight="1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 spans="1:28" ht="14.25" customHeight="1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 spans="1:28" ht="14.25" customHeight="1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 spans="1:28" ht="14.25" customHeight="1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 spans="1:28" ht="14.25" customHeight="1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 spans="1:28" ht="14.25" customHeight="1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 spans="1:28" ht="14.25" customHeight="1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 spans="1:28" ht="14.25" customHeight="1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 spans="1:28" ht="14.25" customHeight="1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 spans="1:28" ht="14.25" customHeight="1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 spans="1:28" ht="14.25" customHeight="1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 spans="1:28" ht="14.25" customHeight="1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 spans="1:28" ht="14.25" customHeight="1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 spans="1:28" ht="14.25" customHeight="1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 spans="1:28" ht="14.25" customHeight="1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 spans="1:28" ht="14.25" customHeight="1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 spans="1:28" ht="14.25" customHeight="1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 spans="1:28" ht="14.25" customHeight="1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 spans="1:28" ht="14.25" customHeight="1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 spans="1:28" ht="14.25" customHeight="1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 spans="1:28" ht="14.25" customHeight="1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 spans="1:28" ht="14.25" customHeight="1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 spans="1:28" ht="14.25" customHeight="1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 spans="1:28" ht="14.25" customHeight="1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 spans="1:28" ht="14.25" customHeight="1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 spans="1:28" ht="14.25" customHeight="1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 spans="1:28" ht="14.25" customHeight="1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 spans="1:28" ht="14.25" customHeight="1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 spans="1:28" ht="14.25" customHeight="1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 spans="1:28" ht="14.25" customHeight="1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 spans="1:28" ht="14.25" customHeight="1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 spans="1:28" ht="14.25" customHeight="1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 spans="1:28" ht="14.25" customHeight="1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 spans="1:28" ht="14.25" customHeight="1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 spans="1:28" ht="14.25" customHeight="1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 spans="1:28" ht="14.25" customHeight="1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 spans="1:28" ht="14.25" customHeight="1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 spans="1:28" ht="14.25" customHeight="1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 spans="1:28" ht="14.25" customHeight="1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 spans="1:28" ht="14.25" customHeight="1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 spans="1:28" ht="14.25" customHeight="1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 spans="1:28" ht="14.25" customHeight="1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 spans="1:28" ht="14.25" customHeight="1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 spans="1:28" ht="14.25" customHeight="1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 spans="1:28" ht="14.25" customHeight="1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 spans="1:28" ht="14.25" customHeight="1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 spans="1:28" ht="14.25" customHeight="1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 spans="1:28" ht="14.25" customHeight="1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 spans="1:28" ht="14.25" customHeight="1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 spans="1:28" ht="14.25" customHeight="1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 spans="1:28" ht="14.25" customHeight="1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 spans="1:28" ht="14.25" customHeight="1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 spans="1:28" ht="14.25" customHeight="1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 spans="1:28" ht="14.25" customHeight="1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 spans="1:28" ht="14.25" customHeight="1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 spans="1:28" ht="14.25" customHeight="1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 spans="1:28" ht="14.25" customHeight="1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 spans="1:28" ht="14.25" customHeight="1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 spans="1:28" ht="14.25" customHeight="1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 spans="1:28" ht="14.25" customHeight="1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 spans="1:28" ht="14.25" customHeight="1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 spans="1:28" ht="14.25" customHeight="1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 spans="1:28" ht="14.25" customHeight="1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 spans="1:28" ht="14.25" customHeight="1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 spans="1:28" ht="14.25" customHeight="1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 spans="1:28" ht="14.25" customHeight="1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 spans="1:28" ht="14.25" customHeight="1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 spans="1:28" ht="14.25" customHeight="1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 spans="1:28" ht="14.25" customHeight="1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 spans="1:28" ht="14.25" customHeight="1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 spans="1:28" ht="14.25" customHeight="1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 spans="1:28" ht="14.25" customHeight="1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 spans="1:28" ht="14.25" customHeight="1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 spans="1:28" ht="14.25" customHeight="1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 spans="1:28" ht="14.25" customHeight="1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 spans="1:28" ht="14.25" customHeight="1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 spans="1:28" ht="14.25" customHeight="1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 spans="1:28" ht="14.25" customHeight="1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 spans="1:28" ht="14.25" customHeight="1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 spans="1:28" ht="14.25" customHeight="1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 spans="1:28" ht="14.25" customHeight="1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 spans="1:28" ht="14.25" customHeight="1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 spans="1:28" ht="14.25" customHeight="1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 spans="1:28" ht="14.25" customHeight="1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 spans="1:28" ht="14.25" customHeight="1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 spans="1:28" ht="14.25" customHeight="1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 spans="1:28" ht="14.25" customHeight="1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 spans="1:28" ht="14.25" customHeight="1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 spans="1:28" ht="14.25" customHeight="1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 spans="1:28" ht="14.25" customHeight="1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 spans="1:28" ht="14.25" customHeight="1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 spans="1:28" ht="14.25" customHeight="1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 spans="1:28" ht="14.25" customHeight="1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 spans="1:28" ht="14.25" customHeight="1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 spans="1:28" ht="14.25" customHeight="1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 spans="1:28" ht="14.25" customHeight="1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 spans="1:28" ht="14.25" customHeight="1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 spans="1:28" ht="14.25" customHeight="1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 spans="1:28" ht="14.25" customHeight="1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 spans="1:28" ht="14.25" customHeight="1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 spans="1:28" ht="14.25" customHeight="1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 spans="1:28" ht="14.25" customHeight="1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 spans="1:28" ht="14.25" customHeight="1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 spans="1:28" ht="14.25" customHeight="1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 spans="1:28" ht="14.25" customHeight="1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 spans="1:28" ht="14.25" customHeight="1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 spans="1:28" ht="14.25" customHeight="1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 spans="1:28" ht="14.25" customHeight="1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 spans="1:28" ht="14.25" customHeight="1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 spans="1:28" ht="14.25" customHeight="1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 spans="1:28" ht="14.25" customHeight="1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 spans="1:28" ht="14.25" customHeight="1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 spans="1:28" ht="14.25" customHeight="1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 spans="1:28" ht="14.25" customHeight="1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 spans="1:28" ht="14.25" customHeight="1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 spans="1:28" ht="14.25" customHeight="1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 spans="1:28" ht="14.25" customHeight="1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 spans="1:28" ht="14.25" customHeight="1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 spans="1:28" ht="14.25" customHeight="1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 spans="1:28" ht="14.25" customHeight="1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 spans="1:28" ht="14.25" customHeight="1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 spans="1:28" ht="14.25" customHeight="1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 spans="1:28" ht="14.25" customHeight="1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 spans="1:28" ht="14.25" customHeight="1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 spans="1:28" ht="14.25" customHeight="1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 spans="1:28" ht="14.25" customHeight="1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 spans="1:28" ht="14.25" customHeight="1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 spans="1:28" ht="14.25" customHeight="1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 spans="1:28" ht="14.25" customHeight="1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 spans="1:28" ht="14.25" customHeight="1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 spans="1:28" ht="14.25" customHeight="1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 spans="1:28" ht="14.25" customHeight="1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 spans="1:28" ht="14.25" customHeight="1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 spans="1:28" ht="14.25" customHeight="1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 spans="1:28" ht="14.25" customHeight="1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 spans="1:28" ht="14.25" customHeight="1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 spans="1:28" ht="14.25" customHeight="1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 spans="1:28" ht="14.25" customHeight="1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 spans="1:28" ht="14.25" customHeight="1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 spans="1:28" ht="14.25" customHeight="1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 spans="1:28" ht="14.25" customHeight="1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 spans="1:28" ht="14.25" customHeight="1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 spans="1:28" ht="14.25" customHeight="1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 spans="1:28" ht="14.25" customHeight="1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 spans="1:28" ht="14.25" customHeight="1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 spans="1:28" ht="14.25" customHeight="1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 spans="1:28" ht="14.25" customHeight="1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 spans="1:28" ht="14.25" customHeight="1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 spans="1:28" ht="14.25" customHeight="1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 spans="1:28" ht="14.25" customHeight="1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 spans="1:28" ht="14.25" customHeight="1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 spans="1:28" ht="14.25" customHeight="1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 spans="1:28" ht="14.25" customHeight="1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 spans="1:28" ht="14.25" customHeight="1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 spans="1:28" ht="14.25" customHeight="1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 spans="1:28" ht="14.25" customHeight="1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 spans="1:28" ht="14.25" customHeight="1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 spans="1:28" ht="14.25" customHeight="1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 spans="1:28" ht="14.25" customHeight="1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 spans="1:28" ht="14.25" customHeight="1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 spans="1:28" ht="14.25" customHeight="1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 spans="1:28" ht="14.25" customHeight="1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 spans="1:28" ht="14.25" customHeight="1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 spans="1:28" ht="14.25" customHeight="1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 spans="1:28" ht="14.25" customHeight="1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 spans="1:28" ht="14.25" customHeight="1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 spans="1:28" ht="14.25" customHeight="1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 spans="1:28" ht="14.25" customHeight="1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 spans="1:28" ht="14.25" customHeight="1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 spans="1:28" ht="14.25" customHeight="1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 spans="1:28" ht="14.25" customHeight="1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 spans="1:28" ht="14.25" customHeight="1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 spans="1:28" ht="14.25" customHeight="1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 spans="1:28" ht="14.25" customHeight="1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 spans="1:28" ht="14.25" customHeight="1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 spans="1:28" ht="14.25" customHeight="1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 spans="1:28" ht="14.25" customHeight="1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 spans="1:28" ht="14.25" customHeight="1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 spans="1:28" ht="14.25" customHeight="1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 spans="1:28" ht="14.25" customHeight="1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 spans="1:28" ht="14.25" customHeight="1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 spans="1:28" ht="14.25" customHeight="1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 spans="1:28" ht="14.25" customHeight="1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 spans="1:28" ht="14.25" customHeight="1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 spans="1:28" ht="14.25" customHeight="1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 spans="1:28" ht="14.25" customHeight="1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 spans="1:28" ht="14.25" customHeight="1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 spans="1:28" ht="14.25" customHeight="1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 spans="1:28" ht="14.25" customHeight="1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 spans="1:28" ht="14.25" customHeight="1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 spans="1:28" ht="14.25" customHeight="1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 spans="1:28" ht="14.25" customHeight="1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 spans="1:28" ht="14.25" customHeight="1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 spans="1:28" ht="14.25" customHeight="1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 spans="1:28" ht="14.25" customHeight="1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 spans="1:28" ht="14.25" customHeight="1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 spans="1:28" ht="14.25" customHeight="1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 spans="1:28" ht="14.25" customHeight="1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 spans="1:28" ht="14.25" customHeight="1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 spans="1:28" ht="14.25" customHeight="1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 spans="1:28" ht="14.25" customHeight="1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 spans="1:28" ht="14.25" customHeight="1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 spans="1:28" ht="14.25" customHeight="1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 spans="1:28" ht="14.25" customHeight="1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 spans="1:28" ht="14.25" customHeight="1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 spans="1:28" ht="14.25" customHeight="1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 spans="1:28" ht="14.25" customHeight="1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 spans="1:28" ht="14.25" customHeight="1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 spans="1:28" ht="14.25" customHeight="1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 spans="1:28" ht="14.25" customHeight="1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 spans="1:28" ht="14.25" customHeight="1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 spans="1:28" ht="14.25" customHeight="1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 spans="1:28" ht="14.25" customHeight="1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 spans="1:28" ht="14.25" customHeight="1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 spans="1:28" ht="14.25" customHeight="1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 spans="1:28" ht="14.25" customHeight="1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 spans="1:28" ht="14.25" customHeight="1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 spans="1:28" ht="14.25" customHeight="1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 spans="1:28" ht="14.25" customHeight="1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 spans="1:28" ht="14.25" customHeight="1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 spans="1:28" ht="14.25" customHeight="1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 spans="1:28" ht="14.25" customHeight="1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 spans="1:28" ht="14.25" customHeight="1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 spans="1:28" ht="14.25" customHeight="1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 spans="1:28" ht="14.25" customHeight="1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 spans="1:28" ht="14.25" customHeight="1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 spans="1:28" ht="14.25" customHeight="1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 spans="1:28" ht="14.25" customHeight="1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 spans="1:28" ht="14.25" customHeight="1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 spans="1:28" ht="14.25" customHeight="1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 spans="1:28" ht="14.25" customHeight="1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 spans="1:28" ht="14.25" customHeight="1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 spans="1:28" ht="14.25" customHeight="1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 spans="1:28" ht="14.25" customHeight="1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 spans="1:28" ht="14.25" customHeight="1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 spans="1:28" ht="14.25" customHeight="1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 spans="1:28" ht="14.25" customHeight="1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 spans="1:28" ht="14.25" customHeight="1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 spans="1:28" ht="14.25" customHeight="1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 spans="1:28" ht="14.25" customHeight="1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 spans="1:28" ht="14.25" customHeight="1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 spans="1:28" ht="14.25" customHeight="1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 spans="1:28" ht="14.25" customHeight="1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 spans="1:28" ht="14.25" customHeight="1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 spans="1:28" ht="14.25" customHeight="1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 spans="1:28" ht="14.25" customHeight="1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 spans="1:28" ht="14.25" customHeight="1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 spans="1:28" ht="14.25" customHeight="1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 spans="1:28" ht="14.25" customHeight="1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 spans="1:28" ht="14.25" customHeight="1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 spans="1:28" ht="14.25" customHeight="1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 spans="1:28" ht="14.25" customHeight="1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 spans="1:28" ht="14.25" customHeight="1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 spans="1:28" ht="14.25" customHeight="1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 spans="1:28" ht="14.25" customHeight="1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 spans="1:28" ht="14.25" customHeight="1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 spans="1:28" ht="14.25" customHeight="1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 spans="1:28" ht="14.25" customHeight="1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 spans="1:28" ht="14.25" customHeight="1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 spans="1:28" ht="14.25" customHeight="1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 spans="1:28" ht="14.25" customHeight="1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 spans="1:28" ht="14.25" customHeight="1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 spans="1:28" ht="14.25" customHeight="1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 spans="1:28" ht="14.25" customHeight="1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 spans="1:28" ht="14.25" customHeight="1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 spans="1:28" ht="14.25" customHeight="1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 spans="1:28" ht="14.25" customHeight="1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 spans="1:28" ht="14.25" customHeight="1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 spans="1:28" ht="14.25" customHeight="1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 spans="1:28" ht="14.25" customHeight="1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 spans="1:28" ht="14.25" customHeight="1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 spans="1:28" ht="14.25" customHeight="1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 spans="1:28" ht="14.25" customHeight="1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 spans="1:28" ht="14.25" customHeight="1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 spans="1:28" ht="14.25" customHeight="1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 spans="1:28" ht="14.25" customHeight="1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 spans="1:28" ht="14.25" customHeight="1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 spans="1:28" ht="14.25" customHeight="1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 spans="1:28" ht="14.25" customHeight="1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 spans="1:28" ht="14.25" customHeight="1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 spans="1:28" ht="14.25" customHeight="1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 spans="1:28" ht="14.25" customHeight="1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 spans="1:28" ht="14.25" customHeight="1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 spans="1:28" ht="14.25" customHeight="1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 spans="1:28" ht="14.25" customHeight="1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 spans="1:28" ht="14.25" customHeight="1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 spans="1:28" ht="14.25" customHeight="1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 spans="1:28" ht="14.25" customHeight="1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 spans="1:28" ht="14.25" customHeight="1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 spans="1:28" ht="14.25" customHeight="1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 spans="1:28" ht="14.25" customHeight="1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 spans="1:28" ht="14.25" customHeight="1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 spans="1:28" ht="14.25" customHeight="1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 spans="1:28" ht="14.25" customHeight="1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 spans="1:28" ht="14.25" customHeight="1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 spans="1:28" ht="14.25" customHeight="1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 spans="1:28" ht="14.25" customHeight="1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 spans="1:28" ht="14.25" customHeight="1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 spans="1:28" ht="14.25" customHeight="1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 spans="1:28" ht="14.25" customHeight="1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 spans="1:28" ht="14.25" customHeight="1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 spans="1:28" ht="14.25" customHeight="1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 spans="1:28" ht="14.25" customHeight="1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 spans="1:28" ht="14.25" customHeight="1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 spans="1:28" ht="14.25" customHeight="1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 spans="1:28" ht="14.25" customHeight="1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 spans="1:28" ht="14.25" customHeight="1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 spans="1:28" ht="14.25" customHeight="1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 spans="1:28" ht="14.25" customHeight="1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 spans="1:28" ht="14.25" customHeight="1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 spans="1:28" ht="14.25" customHeight="1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 spans="1:28" ht="14.25" customHeight="1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 spans="1:28" ht="14.25" customHeight="1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 spans="1:28" ht="14.25" customHeight="1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 spans="1:28" ht="14.25" customHeight="1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 spans="1:28" ht="14.25" customHeight="1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 spans="1:28" ht="14.25" customHeight="1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 spans="1:28" ht="14.25" customHeight="1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 spans="1:28" ht="14.25" customHeight="1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 spans="1:28" ht="14.25" customHeight="1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 spans="1:28" ht="14.25" customHeight="1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 spans="1:28" ht="14.25" customHeight="1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 spans="1:28" ht="14.25" customHeight="1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 spans="1:28" ht="14.25" customHeight="1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 spans="1:28" ht="14.25" customHeight="1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 spans="1:28" ht="14.25" customHeight="1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 spans="1:28" ht="14.25" customHeight="1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 spans="1:28" ht="14.25" customHeight="1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 spans="1:28" ht="14.25" customHeight="1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 spans="1:28" ht="14.25" customHeight="1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 spans="1:28" ht="14.25" customHeight="1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 spans="1:28" ht="14.25" customHeight="1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 spans="1:28" ht="14.25" customHeight="1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 spans="1:28" ht="14.25" customHeight="1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 spans="1:28" ht="14.25" customHeight="1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 spans="1:28" ht="14.25" customHeight="1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 spans="1:28" ht="14.25" customHeight="1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 spans="1:28" ht="14.25" customHeight="1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 spans="1:28" ht="14.25" customHeight="1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 spans="1:28" ht="14.25" customHeight="1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 spans="1:28" ht="14.25" customHeight="1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 spans="1:28" ht="14.25" customHeight="1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 spans="1:28" ht="14.25" customHeight="1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 spans="1:28" ht="14.25" customHeight="1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 spans="1:28" ht="14.25" customHeight="1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 spans="1:28" ht="14.25" customHeight="1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 spans="1:28" ht="14.25" customHeight="1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 spans="1:28" ht="14.25" customHeight="1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 spans="1:28" ht="14.25" customHeight="1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 spans="1:28" ht="14.25" customHeight="1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 spans="1:28" ht="14.25" customHeight="1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 spans="1:28" ht="14.25" customHeight="1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 spans="1:28" ht="14.25" customHeight="1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 spans="1:28" ht="14.25" customHeight="1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 spans="1:28" ht="14.25" customHeight="1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 spans="1:28" ht="14.25" customHeight="1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 spans="1:28" ht="14.25" customHeight="1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 spans="1:28" ht="14.25" customHeight="1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 spans="1:28" ht="14.25" customHeight="1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 spans="1:28" ht="14.25" customHeight="1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 spans="1:28" ht="14.25" customHeight="1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 spans="1:28" ht="14.25" customHeight="1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 spans="1:28" ht="14.25" customHeight="1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 spans="1:28" ht="14.25" customHeight="1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 spans="1:28" ht="14.25" customHeight="1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 spans="1:28" ht="14.25" customHeight="1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 spans="1:28" ht="14.25" customHeight="1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 spans="1:28" ht="14.25" customHeight="1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 spans="1:28" ht="14.25" customHeight="1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 spans="1:28" ht="14.25" customHeight="1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 spans="1:28" ht="14.25" customHeight="1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 spans="1:28" ht="14.25" customHeight="1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 spans="1:28" ht="14.25" customHeight="1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 spans="1:28" ht="14.25" customHeight="1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 spans="1:28" ht="14.25" customHeight="1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 spans="1:28" ht="14.25" customHeight="1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 spans="1:28" ht="14.25" customHeight="1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 spans="1:28" ht="14.25" customHeight="1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 spans="1:28" ht="14.25" customHeight="1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 spans="1:28" ht="14.25" customHeight="1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 spans="1:28" ht="14.25" customHeight="1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 spans="1:28" ht="14.25" customHeight="1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 spans="1:28" ht="14.25" customHeight="1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 spans="1:28" ht="14.25" customHeight="1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 spans="1:28" ht="14.25" customHeight="1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 spans="1:28" ht="14.25" customHeight="1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 spans="1:28" ht="14.25" customHeight="1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 spans="1:28" ht="14.25" customHeight="1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 spans="1:28" ht="14.25" customHeight="1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 spans="1:28" ht="14.25" customHeight="1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 spans="1:28" ht="14.25" customHeight="1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 spans="1:28" ht="14.25" customHeight="1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 spans="1:28" ht="14.25" customHeight="1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 spans="1:28" ht="14.25" customHeight="1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 spans="1:28" ht="14.25" customHeight="1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 spans="1:28" ht="14.25" customHeight="1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 spans="1:28" ht="14.25" customHeight="1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 spans="1:28" ht="14.25" customHeight="1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 spans="1:28" ht="14.25" customHeight="1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 spans="1:28" ht="14.25" customHeight="1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 spans="1:28" ht="14.25" customHeight="1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 spans="1:28" ht="14.25" customHeight="1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 spans="1:28" ht="14.25" customHeight="1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 spans="1:28" ht="14.25" customHeight="1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 spans="1:28" ht="14.25" customHeight="1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 spans="1:28" ht="14.25" customHeight="1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 spans="1:28" ht="14.25" customHeight="1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 spans="1:28" ht="14.25" customHeight="1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 spans="1:28" ht="14.25" customHeight="1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 spans="1:28" ht="14.25" customHeight="1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 spans="1:28" ht="14.25" customHeight="1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 spans="1:28" ht="14.25" customHeight="1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 spans="1:28" ht="14.25" customHeight="1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 spans="1:28" ht="14.25" customHeight="1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 spans="1:28" ht="14.25" customHeight="1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 spans="1:28" ht="14.25" customHeight="1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 spans="1:28" ht="14.25" customHeight="1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 spans="1:28" ht="14.25" customHeight="1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 spans="1:28" ht="14.25" customHeight="1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 spans="1:28" ht="14.25" customHeight="1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 spans="1:28" ht="14.25" customHeight="1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 spans="1:28" ht="14.25" customHeight="1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 spans="1:28" ht="14.25" customHeight="1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 spans="1:28" ht="14.25" customHeight="1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 spans="1:28" ht="14.25" customHeight="1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 spans="1:28" ht="14.25" customHeight="1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 spans="1:28" ht="14.25" customHeight="1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 spans="1:28" ht="14.25" customHeight="1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 spans="1:28" ht="14.25" customHeight="1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 spans="1:28" ht="14.25" customHeight="1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 spans="1:28" ht="14.25" customHeight="1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 spans="1:28" ht="14.25" customHeight="1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 spans="1:28" ht="14.25" customHeight="1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 spans="1:28" ht="14.25" customHeight="1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 spans="1:28" ht="14.25" customHeight="1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 spans="1:28" ht="14.25" customHeight="1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 spans="1:28" ht="14.25" customHeight="1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 spans="1:28" ht="14.25" customHeight="1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 spans="1:28" ht="14.25" customHeight="1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 spans="1:28" ht="14.25" customHeight="1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 spans="1:28" ht="14.25" customHeight="1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 spans="1:28" ht="14.25" customHeight="1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 spans="1:28" ht="14.25" customHeight="1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 spans="1:28" ht="14.25" customHeight="1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 spans="1:28" ht="14.25" customHeight="1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 spans="1:28" ht="14.25" customHeight="1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 spans="1:28" ht="14.25" customHeight="1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 spans="1:28" ht="14.25" customHeight="1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 spans="1:28" ht="14.25" customHeight="1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 spans="1:28" ht="14.25" customHeight="1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 spans="1:28" ht="14.25" customHeight="1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 spans="1:28" ht="14.25" customHeight="1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 spans="1:28" ht="14.25" customHeight="1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 spans="1:28" ht="14.25" customHeight="1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 spans="1:28" ht="14.25" customHeight="1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 spans="1:28" ht="14.25" customHeight="1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 spans="1:28" ht="14.25" customHeight="1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 spans="1:28" ht="14.25" customHeight="1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 spans="1:28" ht="14.25" customHeight="1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 spans="1:28" ht="14.25" customHeight="1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 spans="1:28" ht="14.25" customHeight="1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 spans="1:28" ht="14.25" customHeight="1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 spans="1:28" ht="14.25" customHeight="1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 spans="1:28" ht="14.25" customHeight="1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 spans="1:28" ht="14.25" customHeight="1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 spans="1:28" ht="14.25" customHeight="1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 spans="1:28" ht="14.25" customHeight="1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 spans="1:28" ht="14.25" customHeight="1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 spans="1:28" ht="14.25" customHeight="1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 spans="1:28" ht="14.25" customHeight="1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 spans="1:28" ht="14.25" customHeight="1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 spans="1:28" ht="14.25" customHeight="1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 spans="1:28" ht="14.25" customHeight="1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 spans="1:28" ht="14.25" customHeight="1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 spans="1:28" ht="14.25" customHeight="1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 spans="1:28" ht="14.25" customHeight="1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 spans="1:28" ht="14.25" customHeight="1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 spans="1:28" ht="14.25" customHeight="1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 spans="1:28" ht="14.25" customHeight="1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 spans="1:28" ht="14.25" customHeight="1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 spans="1:28" ht="14.25" customHeight="1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 spans="1:28" ht="14.25" customHeight="1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 spans="1:28" ht="14.25" customHeight="1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 spans="1:28" ht="14.25" customHeight="1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 spans="1:28" ht="14.25" customHeight="1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 spans="1:28" ht="14.25" customHeight="1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 spans="1:28" ht="14.25" customHeight="1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 spans="1:28" ht="14.25" customHeight="1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 spans="1:28" ht="14.25" customHeight="1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 spans="1:28" ht="14.25" customHeight="1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 spans="1:28" ht="14.25" customHeight="1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 spans="1:28" ht="14.25" customHeight="1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 spans="1:28" ht="14.25" customHeight="1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 spans="1:28" ht="14.25" customHeight="1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 spans="1:28" ht="14.25" customHeight="1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 spans="1:28" ht="14.25" customHeight="1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  <row r="1000" spans="1:28" ht="14.25" customHeight="1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</row>
  </sheetData>
  <mergeCells count="16">
    <mergeCell ref="A22:H23"/>
    <mergeCell ref="J22:M22"/>
    <mergeCell ref="J23:K25"/>
    <mergeCell ref="J26:N29"/>
    <mergeCell ref="J31:M35"/>
    <mergeCell ref="K10:L10"/>
    <mergeCell ref="J12:N12"/>
    <mergeCell ref="K13:L13"/>
    <mergeCell ref="N13:O13"/>
    <mergeCell ref="A14:C19"/>
    <mergeCell ref="K17:L17"/>
    <mergeCell ref="A1:H2"/>
    <mergeCell ref="J1:M1"/>
    <mergeCell ref="J7:L7"/>
    <mergeCell ref="K8:L8"/>
    <mergeCell ref="K9:L9"/>
  </mergeCells>
  <pageMargins left="0.7" right="0.7" top="0.75" bottom="0.75" header="0.511811023622047" footer="0.511811023622047"/>
  <pageSetup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Windows User</cp:lastModifiedBy>
  <cp:revision>0</cp:revision>
  <dcterms:created xsi:type="dcterms:W3CDTF">2025-05-06T06:44:00Z</dcterms:created>
  <dcterms:modified xsi:type="dcterms:W3CDTF">2026-04-28T04:34:07Z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A1F2A40E58984BC38C9F998AF9C8D650_12</vt:lpwstr>
  </property>
  <property fmtid="{D5CDD505-2E9C-101B-9397-08002B2CF9AE}" pid="3" name="KSOProductBuildVer">
    <vt:lpwstr>1033-12.2.0.20795</vt:lpwstr>
  </property>
</Properties>
</file>